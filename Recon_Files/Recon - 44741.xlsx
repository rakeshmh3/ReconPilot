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hin\Downloads\ReconPilot2\Recon_Files\"/>
    </mc:Choice>
  </mc:AlternateContent>
  <xr:revisionPtr revIDLastSave="0" documentId="13_ncr:1_{31E9569E-3613-4E6F-8EB8-9A7115766D7E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ignOf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D15" i="1" a="1"/>
  <c r="D15" i="1" s="1"/>
  <c r="D14" i="1" a="1"/>
  <c r="D14" i="1" s="1"/>
  <c r="D13" i="1" a="1"/>
  <c r="D13" i="1" s="1"/>
  <c r="D12" i="1" a="1"/>
  <c r="D12" i="1" s="1"/>
  <c r="D11" i="1" a="1"/>
  <c r="D11" i="1" s="1"/>
  <c r="G7" i="1"/>
  <c r="D16" i="1" l="1"/>
</calcChain>
</file>

<file path=xl/sharedStrings.xml><?xml version="1.0" encoding="utf-8"?>
<sst xmlns="http://schemas.openxmlformats.org/spreadsheetml/2006/main" count="53" uniqueCount="49">
  <si>
    <t>Company Name</t>
  </si>
  <si>
    <t>Recon Date</t>
  </si>
  <si>
    <t>SAP Balance</t>
  </si>
  <si>
    <t>Account Number</t>
  </si>
  <si>
    <t>Subledger Balance</t>
  </si>
  <si>
    <t>Account Name</t>
  </si>
  <si>
    <t>Accounts Payable</t>
  </si>
  <si>
    <t>Difference</t>
  </si>
  <si>
    <t>Ageing Summary</t>
  </si>
  <si>
    <t>AI Summary</t>
  </si>
  <si>
    <t>Bucket</t>
  </si>
  <si>
    <t>Amount</t>
  </si>
  <si>
    <t>Reconciliation identifies 7 open items. Key audit exposures are a large GRNI item of -$646 from November 2025 and a highly aged duplicate posting of $112 from January 2025. Immediate action is required to match the GRNI item and reverse the duplicate posting. Stricter timelines should be set for intercompany reconciliation and clearing.</t>
  </si>
  <si>
    <t>0-30 Days</t>
  </si>
  <si>
    <t>31-60 Days</t>
  </si>
  <si>
    <t>61-90 Days</t>
  </si>
  <si>
    <t>91-180 Days</t>
  </si>
  <si>
    <t>&gt;180 Days</t>
  </si>
  <si>
    <t>Total</t>
  </si>
  <si>
    <t>Reconciliation Difference Details</t>
  </si>
  <si>
    <t>Date</t>
  </si>
  <si>
    <t xml:space="preserve">Amount </t>
  </si>
  <si>
    <t>Description</t>
  </si>
  <si>
    <t xml:space="preserve">Root Cause </t>
  </si>
  <si>
    <t>Remarks / Action Required</t>
  </si>
  <si>
    <t>Vendor Invoice Pending</t>
  </si>
  <si>
    <t>Invoice not yet received.</t>
  </si>
  <si>
    <t>Record invoice upon receipt.</t>
  </si>
  <si>
    <t>Duplicate Posting</t>
  </si>
  <si>
    <t>Duplicate transaction identified.</t>
  </si>
  <si>
    <t>Reverse duplicate entry.</t>
  </si>
  <si>
    <t>Intercompany Difference</t>
  </si>
  <si>
    <t>Counterparty not aligned.</t>
  </si>
  <si>
    <t>Coordinate intercompany settlement.</t>
  </si>
  <si>
    <t>Timing Difference</t>
  </si>
  <si>
    <t>Timing difference due to month-end cutoff.</t>
  </si>
  <si>
    <t>Clear in next accounting period.</t>
  </si>
  <si>
    <t>Accrual Pending Reversal</t>
  </si>
  <si>
    <t>Scheduled reversal outstanding.</t>
  </si>
  <si>
    <t>Reverse accrual.</t>
  </si>
  <si>
    <t>Goods Receipt Not Invoiced</t>
  </si>
  <si>
    <t>GRNI awaiting vendor invoice.</t>
  </si>
  <si>
    <t>Match invoice and clear GRNI.</t>
  </si>
  <si>
    <t>Performed By:</t>
  </si>
  <si>
    <t>Reema</t>
  </si>
  <si>
    <t>Reviewed By:</t>
  </si>
  <si>
    <t>Jenifer</t>
  </si>
  <si>
    <t>Performed Date:</t>
  </si>
  <si>
    <t>Reviewed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</si>
</sst>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mm/dd/yyyy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8"/>
      <color theme="7" tint="0.3999755851924192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/>
  </cellStyleXfs>
  <cellXfs count="64">
    <xf numFmtId="0" fontId="0" fillId="0" borderId="0" xfId="0"/>
    <xf numFmtId="0" fontId="0" fillId="0" borderId="1" xfId="0" applyBorder="1"/>
    <xf numFmtId="0" fontId="0" fillId="0" borderId="6" xfId="0" applyBorder="1"/>
    <xf numFmtId="43" fontId="0" fillId="0" borderId="4" xfId="1" applyFont="1" applyBorder="1"/>
    <xf numFmtId="43" fontId="0" fillId="0" borderId="6" xfId="1" applyFont="1" applyBorder="1"/>
    <xf numFmtId="43" fontId="0" fillId="0" borderId="9" xfId="1" applyFont="1" applyBorder="1"/>
    <xf numFmtId="0" fontId="0" fillId="2" borderId="2" xfId="0" applyFill="1" applyBorder="1"/>
    <xf numFmtId="0" fontId="0" fillId="2" borderId="5" xfId="0" applyFill="1" applyBorder="1"/>
    <xf numFmtId="0" fontId="0" fillId="2" borderId="7" xfId="0" applyFill="1" applyBorder="1"/>
    <xf numFmtId="0" fontId="0" fillId="2" borderId="3" xfId="0" applyFill="1" applyBorder="1"/>
    <xf numFmtId="0" fontId="0" fillId="2" borderId="1" xfId="0" applyFill="1" applyBorder="1"/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43" fontId="0" fillId="0" borderId="1" xfId="1" applyFont="1" applyBorder="1"/>
    <xf numFmtId="0" fontId="0" fillId="0" borderId="0" xfId="0" applyAlignment="1">
      <alignment horizontal="left"/>
    </xf>
    <xf numFmtId="0" fontId="3" fillId="0" borderId="0" xfId="0" applyFont="1"/>
    <xf numFmtId="0" fontId="3" fillId="2" borderId="8" xfId="0" applyFont="1" applyFill="1" applyBorder="1"/>
    <xf numFmtId="43" fontId="3" fillId="0" borderId="9" xfId="1" applyFont="1" applyBorder="1"/>
    <xf numFmtId="0" fontId="3" fillId="2" borderId="7" xfId="0" applyFont="1" applyFill="1" applyBorder="1"/>
    <xf numFmtId="43" fontId="0" fillId="0" borderId="30" xfId="1" applyFont="1" applyBorder="1"/>
    <xf numFmtId="0" fontId="0" fillId="0" borderId="30" xfId="0" applyBorder="1"/>
    <xf numFmtId="0" fontId="0" fillId="0" borderId="31" xfId="0" applyBorder="1"/>
    <xf numFmtId="14" fontId="3" fillId="0" borderId="32" xfId="0" applyNumberFormat="1" applyFont="1" applyBorder="1"/>
    <xf numFmtId="43" fontId="3" fillId="0" borderId="33" xfId="1" applyFont="1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164" fontId="0" fillId="0" borderId="5" xfId="0" applyNumberFormat="1" applyBorder="1"/>
    <xf numFmtId="164" fontId="0" fillId="0" borderId="29" xfId="0" applyNumberFormat="1" applyBorder="1"/>
    <xf numFmtId="164" fontId="0" fillId="0" borderId="0" xfId="0" applyNumberFormat="1" applyAlignment="1">
      <alignment horizontal="left"/>
    </xf>
    <xf numFmtId="43" fontId="0" fillId="0" borderId="25" xfId="0" applyNumberFormat="1" applyBorder="1"/>
    <xf numFmtId="0" fontId="0" fillId="0" borderId="1" xfId="0" applyBorder="1" applyAlignment="1">
      <alignment horizontal="center"/>
    </xf>
    <xf numFmtId="0" fontId="0" fillId="0" borderId="11" xfId="0" applyBorder="1"/>
    <xf numFmtId="0" fontId="0" fillId="0" borderId="0" xfId="0"/>
    <xf numFmtId="0" fontId="0" fillId="0" borderId="8" xfId="0" applyBorder="1" applyAlignment="1">
      <alignment horizontal="center"/>
    </xf>
    <xf numFmtId="0" fontId="0" fillId="0" borderId="12" xfId="0" applyBorder="1"/>
    <xf numFmtId="164" fontId="0" fillId="0" borderId="3" xfId="0" applyNumberFormat="1" applyBorder="1" applyAlignment="1">
      <alignment horizontal="center"/>
    </xf>
    <xf numFmtId="0" fontId="0" fillId="0" borderId="10" xfId="0" applyBorder="1"/>
    <xf numFmtId="0" fontId="2" fillId="4" borderId="39" xfId="0" applyFont="1" applyFill="1" applyBorder="1" applyAlignment="1">
      <alignment horizontal="center"/>
    </xf>
    <xf numFmtId="0" fontId="0" fillId="0" borderId="37" xfId="0" applyBorder="1"/>
    <xf numFmtId="0" fontId="0" fillId="0" borderId="14" xfId="0" applyBorder="1"/>
    <xf numFmtId="0" fontId="3" fillId="3" borderId="39" xfId="0" applyFont="1" applyFill="1" applyBorder="1" applyAlignment="1">
      <alignment horizontal="center"/>
    </xf>
    <xf numFmtId="0" fontId="3" fillId="3" borderId="40" xfId="0" applyFont="1" applyFill="1" applyBorder="1" applyAlignment="1">
      <alignment horizontal="center"/>
    </xf>
    <xf numFmtId="0" fontId="0" fillId="0" borderId="15" xfId="0" applyBorder="1"/>
    <xf numFmtId="0" fontId="0" fillId="0" borderId="13" xfId="0" applyBorder="1"/>
    <xf numFmtId="0" fontId="4" fillId="0" borderId="0" xfId="0" applyFont="1" applyAlignment="1">
      <alignment horizontal="center"/>
    </xf>
    <xf numFmtId="0" fontId="0" fillId="2" borderId="41" xfId="0" applyFill="1" applyBorder="1" applyAlignment="1">
      <alignment vertical="top" wrapText="1"/>
    </xf>
    <xf numFmtId="0" fontId="0" fillId="0" borderId="22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0" xfId="0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32"/>
  <sheetViews>
    <sheetView showGridLines="0" tabSelected="1" zoomScale="85" zoomScaleNormal="85" workbookViewId="0">
      <selection activeCell="E10" sqref="E10:G16"/>
    </sheetView>
  </sheetViews>
  <sheetFormatPr defaultRowHeight="14.4" x14ac:dyDescent="0.3"/>
  <cols>
    <col min="1" max="2" width="3.77734375" customWidth="1"/>
    <col min="3" max="3" width="16.88671875" customWidth="1"/>
    <col min="4" max="4" width="16.33203125" customWidth="1"/>
    <col min="5" max="5" width="27.21875" customWidth="1"/>
    <col min="6" max="6" width="28.5546875" customWidth="1"/>
    <col min="7" max="7" width="31.77734375" customWidth="1"/>
    <col min="8" max="8" width="3.77734375" customWidth="1"/>
  </cols>
  <sheetData>
    <row r="2" spans="2:8" x14ac:dyDescent="0.3">
      <c r="B2" s="14"/>
      <c r="C2" s="15"/>
      <c r="D2" s="15"/>
      <c r="E2" s="15"/>
      <c r="F2" s="15"/>
      <c r="G2" s="15"/>
      <c r="H2" s="16"/>
    </row>
    <row r="3" spans="2:8" ht="36.6" customHeight="1" x14ac:dyDescent="0.7">
      <c r="B3" s="17"/>
      <c r="C3" s="54" t="s">
        <v>0</v>
      </c>
      <c r="D3" s="42"/>
      <c r="E3" s="42"/>
      <c r="F3" s="42"/>
      <c r="G3" s="42"/>
      <c r="H3" s="18"/>
    </row>
    <row r="4" spans="2:8" ht="15" customHeight="1" thickBot="1" x14ac:dyDescent="0.35">
      <c r="B4" s="17"/>
      <c r="H4" s="18"/>
    </row>
    <row r="5" spans="2:8" x14ac:dyDescent="0.3">
      <c r="B5" s="17"/>
      <c r="C5" s="6" t="s">
        <v>1</v>
      </c>
      <c r="D5" s="45">
        <v>46203</v>
      </c>
      <c r="E5" s="46"/>
      <c r="F5" s="9" t="s">
        <v>2</v>
      </c>
      <c r="G5" s="3">
        <v>270</v>
      </c>
      <c r="H5" s="39"/>
    </row>
    <row r="6" spans="2:8" x14ac:dyDescent="0.3">
      <c r="B6" s="17"/>
      <c r="C6" s="7" t="s">
        <v>3</v>
      </c>
      <c r="D6" s="40">
        <v>44741</v>
      </c>
      <c r="E6" s="41"/>
      <c r="F6" s="10" t="s">
        <v>4</v>
      </c>
      <c r="G6" s="4">
        <v>571</v>
      </c>
      <c r="H6" s="39"/>
    </row>
    <row r="7" spans="2:8" ht="15" customHeight="1" thickBot="1" x14ac:dyDescent="0.35">
      <c r="B7" s="17"/>
      <c r="C7" s="8" t="s">
        <v>5</v>
      </c>
      <c r="D7" s="43" t="s">
        <v>6</v>
      </c>
      <c r="E7" s="44"/>
      <c r="F7" s="25" t="s">
        <v>7</v>
      </c>
      <c r="G7" s="26">
        <f>G5-G6</f>
        <v>-301</v>
      </c>
      <c r="H7" s="18"/>
    </row>
    <row r="8" spans="2:8" ht="15" customHeight="1" thickBot="1" x14ac:dyDescent="0.35">
      <c r="B8" s="17"/>
      <c r="H8" s="18"/>
    </row>
    <row r="9" spans="2:8" x14ac:dyDescent="0.3">
      <c r="B9" s="17"/>
      <c r="C9" s="50" t="s">
        <v>8</v>
      </c>
      <c r="D9" s="49"/>
      <c r="E9" s="47" t="s">
        <v>9</v>
      </c>
      <c r="F9" s="48"/>
      <c r="G9" s="49"/>
      <c r="H9" s="18"/>
    </row>
    <row r="10" spans="2:8" ht="15" customHeight="1" thickBot="1" x14ac:dyDescent="0.35">
      <c r="B10" s="17"/>
      <c r="C10" s="11" t="s">
        <v>10</v>
      </c>
      <c r="D10" s="12" t="s">
        <v>11</v>
      </c>
      <c r="E10" s="55" t="s">
        <v>12</v>
      </c>
      <c r="F10" s="56"/>
      <c r="G10" s="57"/>
      <c r="H10" s="18"/>
    </row>
    <row r="11" spans="2:8" x14ac:dyDescent="0.3">
      <c r="B11" s="17"/>
      <c r="C11" s="7" t="s">
        <v>13</v>
      </c>
      <c r="D11" s="4">
        <f t="array" ref="D11">SUMPRODUCT(($C$20:$C$27&lt;&gt;"")*(D5-$C$20:$C$27&lt;=30)*($D$20:$D$27))</f>
        <v>0</v>
      </c>
      <c r="E11" s="58"/>
      <c r="F11" s="59"/>
      <c r="G11" s="60"/>
      <c r="H11" s="18"/>
    </row>
    <row r="12" spans="2:8" x14ac:dyDescent="0.3">
      <c r="B12" s="17"/>
      <c r="C12" s="7" t="s">
        <v>14</v>
      </c>
      <c r="D12" s="4">
        <f t="array" aca="1" ref="D12" ca="1">SUMPRODUCT(($C$20:$C$27&lt;&gt;"")*(D5-$C$20:$C$27&gt;30)*(TODAY()-$C$20:$C$27&lt;=60)*($D$20:$D$27))</f>
        <v>0</v>
      </c>
      <c r="E12" s="58"/>
      <c r="F12" s="59"/>
      <c r="G12" s="60"/>
      <c r="H12" s="18"/>
    </row>
    <row r="13" spans="2:8" x14ac:dyDescent="0.3">
      <c r="B13" s="17"/>
      <c r="C13" s="7" t="s">
        <v>15</v>
      </c>
      <c r="D13" s="4">
        <f t="array" aca="1" ref="D13" ca="1">SUMPRODUCT(($C$20:$C$27&lt;&gt;"")*(D5-$C$20:$C$27&gt;60)*(TODAY()-$C$20:$C$27&lt;=90)*($D$20:$D$27))</f>
        <v>0</v>
      </c>
      <c r="E13" s="58"/>
      <c r="F13" s="59"/>
      <c r="G13" s="60"/>
      <c r="H13" s="18"/>
    </row>
    <row r="14" spans="2:8" x14ac:dyDescent="0.3">
      <c r="B14" s="17"/>
      <c r="C14" s="7" t="s">
        <v>16</v>
      </c>
      <c r="D14" s="4">
        <f t="array" aca="1" ref="D14" ca="1">SUMPRODUCT(($C$20:$C$27&lt;&gt;"")*(D5-$C$20:$C$27&gt;90)*(TODAY()-$C$20:$C$27&lt;=180)*($D$20:$D$27))</f>
        <v>138</v>
      </c>
      <c r="E14" s="58"/>
      <c r="F14" s="59"/>
      <c r="G14" s="60"/>
      <c r="H14" s="18"/>
    </row>
    <row r="15" spans="2:8" ht="15" customHeight="1" thickBot="1" x14ac:dyDescent="0.35">
      <c r="B15" s="17"/>
      <c r="C15" s="8" t="s">
        <v>17</v>
      </c>
      <c r="D15" s="5">
        <f t="array" ref="D15">SUMPRODUCT(($C$20:$C$27&lt;&gt;"")*(D5-$C$20:$C$27&gt;180)*($D$20:$D$27))</f>
        <v>-439</v>
      </c>
      <c r="E15" s="58"/>
      <c r="F15" s="59"/>
      <c r="G15" s="60"/>
      <c r="H15" s="18"/>
    </row>
    <row r="16" spans="2:8" ht="15" customHeight="1" thickBot="1" x14ac:dyDescent="0.35">
      <c r="B16" s="17"/>
      <c r="C16" s="27" t="s">
        <v>18</v>
      </c>
      <c r="D16" s="26">
        <f ca="1">SUM(D11:D15)</f>
        <v>-301</v>
      </c>
      <c r="E16" s="61"/>
      <c r="F16" s="62"/>
      <c r="G16" s="63"/>
      <c r="H16" s="18"/>
    </row>
    <row r="17" spans="2:8" ht="15" customHeight="1" thickBot="1" x14ac:dyDescent="0.35">
      <c r="B17" s="17"/>
      <c r="H17" s="18"/>
    </row>
    <row r="18" spans="2:8" x14ac:dyDescent="0.3">
      <c r="B18" s="17"/>
      <c r="C18" s="51" t="s">
        <v>19</v>
      </c>
      <c r="D18" s="52"/>
      <c r="E18" s="52"/>
      <c r="F18" s="52"/>
      <c r="G18" s="53"/>
      <c r="H18" s="18"/>
    </row>
    <row r="19" spans="2:8" x14ac:dyDescent="0.3">
      <c r="B19" s="17"/>
      <c r="C19" s="11" t="s">
        <v>20</v>
      </c>
      <c r="D19" s="13" t="s">
        <v>21</v>
      </c>
      <c r="E19" s="13" t="s">
        <v>22</v>
      </c>
      <c r="F19" s="13" t="s">
        <v>23</v>
      </c>
      <c r="G19" s="12" t="s">
        <v>24</v>
      </c>
      <c r="H19" s="18"/>
    </row>
    <row r="20" spans="2:8" x14ac:dyDescent="0.3">
      <c r="B20" s="17"/>
      <c r="C20" s="36">
        <v>45922</v>
      </c>
      <c r="D20" s="22">
        <v>-15</v>
      </c>
      <c r="E20" s="1" t="s">
        <v>25</v>
      </c>
      <c r="F20" s="1" t="s">
        <v>26</v>
      </c>
      <c r="G20" s="2" t="s">
        <v>27</v>
      </c>
      <c r="H20" s="18"/>
    </row>
    <row r="21" spans="2:8" x14ac:dyDescent="0.3">
      <c r="B21" s="17"/>
      <c r="C21" s="36">
        <v>45668</v>
      </c>
      <c r="D21" s="22">
        <v>112</v>
      </c>
      <c r="E21" s="1" t="s">
        <v>28</v>
      </c>
      <c r="F21" s="1" t="s">
        <v>29</v>
      </c>
      <c r="G21" s="2" t="s">
        <v>30</v>
      </c>
      <c r="H21" s="18"/>
    </row>
    <row r="22" spans="2:8" x14ac:dyDescent="0.3">
      <c r="B22" s="17"/>
      <c r="C22" s="36">
        <v>46086</v>
      </c>
      <c r="D22" s="22">
        <v>138</v>
      </c>
      <c r="E22" s="1" t="s">
        <v>31</v>
      </c>
      <c r="F22" s="1" t="s">
        <v>32</v>
      </c>
      <c r="G22" s="2" t="s">
        <v>33</v>
      </c>
      <c r="H22" s="18"/>
    </row>
    <row r="23" spans="2:8" x14ac:dyDescent="0.3">
      <c r="B23" s="17"/>
      <c r="C23" s="36">
        <v>45754</v>
      </c>
      <c r="D23" s="22">
        <v>82</v>
      </c>
      <c r="E23" s="1" t="s">
        <v>34</v>
      </c>
      <c r="F23" s="1" t="s">
        <v>35</v>
      </c>
      <c r="G23" s="2" t="s">
        <v>36</v>
      </c>
      <c r="H23" s="18"/>
    </row>
    <row r="24" spans="2:8" x14ac:dyDescent="0.3">
      <c r="B24" s="17"/>
      <c r="C24" s="36">
        <v>45770</v>
      </c>
      <c r="D24" s="22">
        <v>104</v>
      </c>
      <c r="E24" s="1" t="s">
        <v>37</v>
      </c>
      <c r="F24" s="1" t="s">
        <v>38</v>
      </c>
      <c r="G24" s="2" t="s">
        <v>39</v>
      </c>
      <c r="H24" s="18"/>
    </row>
    <row r="25" spans="2:8" x14ac:dyDescent="0.3">
      <c r="B25" s="17"/>
      <c r="C25" s="36">
        <v>45662</v>
      </c>
      <c r="D25" s="22">
        <v>-76</v>
      </c>
      <c r="E25" s="1" t="s">
        <v>31</v>
      </c>
      <c r="F25" s="1" t="s">
        <v>32</v>
      </c>
      <c r="G25" s="2" t="s">
        <v>33</v>
      </c>
      <c r="H25" s="18"/>
    </row>
    <row r="26" spans="2:8" x14ac:dyDescent="0.3">
      <c r="B26" s="17"/>
      <c r="C26" s="37">
        <v>45988</v>
      </c>
      <c r="D26" s="28">
        <v>-646</v>
      </c>
      <c r="E26" s="29" t="s">
        <v>40</v>
      </c>
      <c r="F26" s="29" t="s">
        <v>41</v>
      </c>
      <c r="G26" s="30" t="s">
        <v>42</v>
      </c>
      <c r="H26" s="18"/>
    </row>
    <row r="27" spans="2:8" ht="15" customHeight="1" thickBot="1" x14ac:dyDescent="0.35">
      <c r="B27" s="17"/>
      <c r="C27" s="37"/>
      <c r="D27" s="28"/>
      <c r="E27" s="29"/>
      <c r="F27" s="29"/>
      <c r="G27" s="30"/>
      <c r="H27" s="18"/>
    </row>
    <row r="28" spans="2:8" ht="15" customHeight="1" thickBot="1" x14ac:dyDescent="0.35">
      <c r="B28" s="17"/>
      <c r="C28" s="31" t="s">
        <v>18</v>
      </c>
      <c r="D28" s="32">
        <f>SUM(D20:D27)</f>
        <v>-301</v>
      </c>
      <c r="E28" s="33"/>
      <c r="F28" s="34"/>
      <c r="G28" s="35"/>
      <c r="H28" s="18"/>
    </row>
    <row r="29" spans="2:8" x14ac:dyDescent="0.3">
      <c r="B29" s="17"/>
      <c r="H29" s="18"/>
    </row>
    <row r="30" spans="2:8" x14ac:dyDescent="0.3">
      <c r="B30" s="17"/>
      <c r="C30" s="24" t="s">
        <v>43</v>
      </c>
      <c r="D30" s="23" t="s">
        <v>44</v>
      </c>
      <c r="F30" s="24" t="s">
        <v>45</v>
      </c>
      <c r="G30" t="s">
        <v>46</v>
      </c>
      <c r="H30" s="18"/>
    </row>
    <row r="31" spans="2:8" x14ac:dyDescent="0.3">
      <c r="B31" s="17"/>
      <c r="C31" s="24" t="s">
        <v>47</v>
      </c>
      <c r="D31" s="38">
        <v>46205</v>
      </c>
      <c r="F31" s="24" t="s">
        <v>48</v>
      </c>
      <c r="G31" s="38">
        <v>46205</v>
      </c>
      <c r="H31" s="18"/>
    </row>
    <row r="32" spans="2:8" x14ac:dyDescent="0.3">
      <c r="B32" s="19"/>
      <c r="C32" s="20"/>
      <c r="D32" s="20"/>
      <c r="E32" s="20"/>
      <c r="F32" s="20"/>
      <c r="G32" s="20"/>
      <c r="H32" s="21"/>
    </row>
  </sheetData>
  <mergeCells count="8">
    <mergeCell ref="C18:G18"/>
    <mergeCell ref="C3:G3"/>
    <mergeCell ref="D6:E6"/>
    <mergeCell ref="E10:G16"/>
    <mergeCell ref="D7:E7"/>
    <mergeCell ref="D5:E5"/>
    <mergeCell ref="E9:G9"/>
    <mergeCell ref="C9:D9"/>
  </mergeCells>
  <pageMargins left="0.7" right="0.7" top="0.75" bottom="0.75" header="0.3" footer="0.3"/>
  <pageSetup scale="9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Hingu</dc:creator>
  <cp:lastModifiedBy>Rakesh Hingu</cp:lastModifiedBy>
  <cp:lastPrinted>2026-07-06T12:11:32Z</cp:lastPrinted>
  <dcterms:created xsi:type="dcterms:W3CDTF">2026-07-06T11:19:04Z</dcterms:created>
  <dcterms:modified xsi:type="dcterms:W3CDTF">2026-07-07T05:30:27Z</dcterms:modified>
</cp:coreProperties>
</file>