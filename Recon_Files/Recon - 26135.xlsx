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DEEEA247-8D5F-4672-BC7D-B8030E035BED}"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2" i="1" a="1"/>
  <c r="D12" i="1" s="1"/>
  <c r="D11" i="1" a="1"/>
  <c r="D11" i="1" s="1"/>
  <c r="G7" i="1"/>
  <c r="D16" i="1" l="1"/>
</calcChain>
</file>

<file path=xl/sharedStrings.xml><?xml version="1.0" encoding="utf-8"?>
<sst xmlns="http://schemas.openxmlformats.org/spreadsheetml/2006/main" count="53" uniqueCount="46">
  <si>
    <t>Company Name</t>
  </si>
  <si>
    <t>Recon Date</t>
  </si>
  <si>
    <t>SAP Balance</t>
  </si>
  <si>
    <t>Account Number</t>
  </si>
  <si>
    <t>Subledger Balance</t>
  </si>
  <si>
    <t>Account Name</t>
  </si>
  <si>
    <t>Accrued Expenses</t>
  </si>
  <si>
    <t>Difference</t>
  </si>
  <si>
    <t>Ageing Summary</t>
  </si>
  <si>
    <t>AI Summary</t>
  </si>
  <si>
    <t>Bucket</t>
  </si>
  <si>
    <t>Amount</t>
  </si>
  <si>
    <t>Reconciliation reports 7 open items. Significant risks include aged vendor invoices pending since August 2025 ($164) and outstanding GRNI items from early 2025, which may suggest delayed receipt of vendor invoices. Action is recommended to contact vendors for the missing invoices and clear the associated GRNI entries. Standardizing the invoice receipt workflow is advised.</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</si>
  <si>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</si>
  <si>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</si>
  <si>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</si>
  <si>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</si>
  <si>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</si>
  <si>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</si>
  <si>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</si>
  <si>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</si>
  <si>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</si>
  <si>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</si>
  <si>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</si>
  <si>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</si>
  <si>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Bank Charges</t>
  </si>
  <si>
    <t>Bank fees not booked.</t>
  </si>
  <si>
    <t>Record bank charges.</t>
  </si>
  <si>
    <t>Accrual Pending Reversal</t>
  </si>
  <si>
    <t>Scheduled reversal outstanding.</t>
  </si>
  <si>
    <t>Reverse accrual.</t>
  </si>
  <si>
    <t>Goods Receipt Not Invoiced</t>
  </si>
  <si>
    <t>GRNI awaiting vendor invoice.</t>
  </si>
  <si>
    <t>Match invoice and clear GRNI.</t>
  </si>
  <si>
    <t>Vendor Invoice Pending</t>
  </si>
  <si>
    <t>Invoice not yet received.</t>
  </si>
  <si>
    <t>Record invoice upon receipt.</t>
  </si>
  <si>
    <t>Foreign Exchange Revaluation</t>
  </si>
  <si>
    <t>Month-end FX revaluation pending.</t>
  </si>
  <si>
    <t>Run FX revaluation.</t>
  </si>
  <si>
    <t>Performed By:</t>
  </si>
  <si>
    <t>Manish</t>
  </si>
  <si>
    <t>Reviewed By:</t>
  </si>
  <si>
    <t>Evan</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</si>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</sst>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3">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election activeCell="E10" sqref="E10:G16"/>
    </sheetView>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3" t="s">
        <v>0</v>
      </c>
      <c r="D3" s="41"/>
      <c r="E3" s="41"/>
      <c r="F3" s="41"/>
      <c r="G3" s="41"/>
      <c r="H3" s="18"/>
    </row>
    <row r="4" spans="2:8" ht="15" customHeight="1" thickBot="1" x14ac:dyDescent="0.35">
      <c r="B4" s="17"/>
      <c r="H4" s="18"/>
    </row>
    <row r="5" spans="2:8" x14ac:dyDescent="0.3">
      <c r="B5" s="17"/>
      <c r="C5" s="6" t="s">
        <v>1</v>
      </c>
      <c r="D5" s="44">
        <v>46203</v>
      </c>
      <c r="E5" s="45"/>
      <c r="F5" s="9" t="s">
        <v>2</v>
      </c>
      <c r="G5" s="3">
        <v>507</v>
      </c>
      <c r="H5" s="18"/>
    </row>
    <row r="6" spans="2:8" x14ac:dyDescent="0.3">
      <c r="B6" s="17"/>
      <c r="C6" s="7" t="s">
        <v>3</v>
      </c>
      <c r="D6" s="39">
        <v>26135</v>
      </c>
      <c r="E6" s="40"/>
      <c r="F6" s="10" t="s">
        <v>4</v>
      </c>
      <c r="G6" s="4">
        <v>661</v>
      </c>
      <c r="H6" s="18"/>
    </row>
    <row r="7" spans="2:8" ht="15" customHeight="1" thickBot="1" x14ac:dyDescent="0.35">
      <c r="B7" s="17"/>
      <c r="C7" s="8" t="s">
        <v>5</v>
      </c>
      <c r="D7" s="42" t="s">
        <v>6</v>
      </c>
      <c r="E7" s="43"/>
      <c r="F7" s="25" t="s">
        <v>7</v>
      </c>
      <c r="G7" s="26">
        <f>G5-G6</f>
        <v>-154</v>
      </c>
      <c r="H7" s="18"/>
    </row>
    <row r="8" spans="2:8" ht="15" customHeight="1" thickBot="1" x14ac:dyDescent="0.35">
      <c r="B8" s="17"/>
      <c r="H8" s="18"/>
    </row>
    <row r="9" spans="2:8" x14ac:dyDescent="0.3">
      <c r="B9" s="17"/>
      <c r="C9" s="49" t="s">
        <v>8</v>
      </c>
      <c r="D9" s="48"/>
      <c r="E9" s="46" t="s">
        <v>9</v>
      </c>
      <c r="F9" s="47"/>
      <c r="G9" s="48"/>
      <c r="H9" s="18"/>
    </row>
    <row r="10" spans="2:8" ht="15" customHeight="1" thickBot="1" x14ac:dyDescent="0.35">
      <c r="B10" s="17"/>
      <c r="C10" s="11" t="s">
        <v>10</v>
      </c>
      <c r="D10" s="12" t="s">
        <v>11</v>
      </c>
      <c r="E10" s="54" t="s">
        <v>12</v>
      </c>
      <c r="F10" s="55"/>
      <c r="G10" s="56"/>
      <c r="H10" s="18"/>
    </row>
    <row r="11" spans="2:8" x14ac:dyDescent="0.3">
      <c r="B11" s="17"/>
      <c r="C11" s="7" t="s">
        <v>13</v>
      </c>
      <c r="D11" s="4">
        <f t="array" ref="D11">SUMPRODUCT(($C$20:$C$27&lt;&gt;"")*(D5-$C$20:$C$27&lt;=30)*($D$20:$D$27))</f>
        <v>-263</v>
      </c>
      <c r="E11" s="57"/>
      <c r="F11" s="58"/>
      <c r="G11" s="59"/>
      <c r="H11" s="18"/>
    </row>
    <row r="12" spans="2:8" x14ac:dyDescent="0.3">
      <c r="B12" s="17"/>
      <c r="C12" s="7" t="s">
        <v>14</v>
      </c>
      <c r="D12" s="4">
        <f t="array" aca="1" ref="D12" ca="1">SUMPRODUCT(($C$20:$C$27&lt;&gt;"")*(D5-$C$20:$C$27&gt;30)*(TODAY()-$C$20:$C$27&lt;=60)*($D$20:$D$27))</f>
        <v>0</v>
      </c>
      <c r="E12" s="57"/>
      <c r="F12" s="58"/>
      <c r="G12" s="59"/>
      <c r="H12" s="18"/>
    </row>
    <row r="13" spans="2:8" x14ac:dyDescent="0.3">
      <c r="B13" s="17"/>
      <c r="C13" s="7" t="s">
        <v>15</v>
      </c>
      <c r="D13" s="4">
        <f t="array" aca="1" ref="D13" ca="1">SUMPRODUCT(($C$20:$C$27&lt;&gt;"")*(D5-$C$20:$C$27&gt;60)*(TODAY()-$C$20:$C$27&lt;=90)*($D$20:$D$27))</f>
        <v>0</v>
      </c>
      <c r="E13" s="57"/>
      <c r="F13" s="58"/>
      <c r="G13" s="59"/>
      <c r="H13" s="18"/>
    </row>
    <row r="14" spans="2:8" x14ac:dyDescent="0.3">
      <c r="B14" s="17"/>
      <c r="C14" s="7" t="s">
        <v>16</v>
      </c>
      <c r="D14" s="4">
        <f t="array" aca="1" ref="D14" ca="1">SUMPRODUCT(($C$20:$C$27&lt;&gt;"")*(D5-$C$20:$C$27&gt;90)*(TODAY()-$C$20:$C$27&lt;=180)*($D$20:$D$27))</f>
        <v>0</v>
      </c>
      <c r="E14" s="57"/>
      <c r="F14" s="58"/>
      <c r="G14" s="59"/>
      <c r="H14" s="18"/>
    </row>
    <row r="15" spans="2:8" ht="15" customHeight="1" thickBot="1" x14ac:dyDescent="0.35">
      <c r="B15" s="17"/>
      <c r="C15" s="8" t="s">
        <v>17</v>
      </c>
      <c r="D15" s="5">
        <f t="array" ref="D15">SUMPRODUCT(($C$20:$C$27&lt;&gt;"")*(D5-$C$20:$C$27&gt;180)*($D$20:$D$27))</f>
        <v>109</v>
      </c>
      <c r="E15" s="57"/>
      <c r="F15" s="58"/>
      <c r="G15" s="59"/>
      <c r="H15" s="18"/>
    </row>
    <row r="16" spans="2:8" ht="15" customHeight="1" thickBot="1" x14ac:dyDescent="0.35">
      <c r="B16" s="17"/>
      <c r="C16" s="27" t="s">
        <v>18</v>
      </c>
      <c r="D16" s="26">
        <f ca="1">SUM(D11:D15)</f>
        <v>-154</v>
      </c>
      <c r="E16" s="60"/>
      <c r="F16" s="61"/>
      <c r="G16" s="62"/>
      <c r="H16" s="18"/>
    </row>
    <row r="17" spans="2:8" ht="15" customHeight="1" thickBot="1" x14ac:dyDescent="0.35">
      <c r="B17" s="17"/>
      <c r="H17" s="18"/>
    </row>
    <row r="18" spans="2:8" x14ac:dyDescent="0.3">
      <c r="B18" s="17"/>
      <c r="C18" s="50" t="s">
        <v>19</v>
      </c>
      <c r="D18" s="51"/>
      <c r="E18" s="51"/>
      <c r="F18" s="51"/>
      <c r="G18" s="52"/>
      <c r="H18" s="18"/>
    </row>
    <row r="19" spans="2:8" x14ac:dyDescent="0.3">
      <c r="B19" s="17"/>
      <c r="C19" s="11" t="s">
        <v>20</v>
      </c>
      <c r="D19" s="13" t="s">
        <v>21</v>
      </c>
      <c r="E19" s="13" t="s">
        <v>22</v>
      </c>
      <c r="F19" s="13" t="s">
        <v>23</v>
      </c>
      <c r="G19" s="12" t="s">
        <v>24</v>
      </c>
      <c r="H19" s="18"/>
    </row>
    <row r="20" spans="2:8" x14ac:dyDescent="0.3">
      <c r="B20" s="17"/>
      <c r="C20" s="36">
        <v>45932</v>
      </c>
      <c r="D20" s="22">
        <v>-110</v>
      </c>
      <c r="E20" s="1" t="s">
        <v>25</v>
      </c>
      <c r="F20" s="1" t="s">
        <v>26</v>
      </c>
      <c r="G20" s="2" t="s">
        <v>27</v>
      </c>
      <c r="H20" s="18"/>
    </row>
    <row r="21" spans="2:8" x14ac:dyDescent="0.3">
      <c r="B21" s="17"/>
      <c r="C21" s="36">
        <v>46180</v>
      </c>
      <c r="D21" s="22">
        <v>-131</v>
      </c>
      <c r="E21" s="1" t="s">
        <v>28</v>
      </c>
      <c r="F21" s="1" t="s">
        <v>29</v>
      </c>
      <c r="G21" s="2" t="s">
        <v>30</v>
      </c>
      <c r="H21" s="18"/>
    </row>
    <row r="22" spans="2:8" x14ac:dyDescent="0.3">
      <c r="B22" s="17"/>
      <c r="C22" s="36">
        <v>46012</v>
      </c>
      <c r="D22" s="22">
        <v>-30</v>
      </c>
      <c r="E22" s="1" t="s">
        <v>31</v>
      </c>
      <c r="F22" s="1" t="s">
        <v>32</v>
      </c>
      <c r="G22" s="2" t="s">
        <v>33</v>
      </c>
      <c r="H22" s="18"/>
    </row>
    <row r="23" spans="2:8" x14ac:dyDescent="0.3">
      <c r="B23" s="17"/>
      <c r="C23" s="36">
        <v>45695</v>
      </c>
      <c r="D23" s="22">
        <v>-2</v>
      </c>
      <c r="E23" s="1" t="s">
        <v>34</v>
      </c>
      <c r="F23" s="1" t="s">
        <v>35</v>
      </c>
      <c r="G23" s="2" t="s">
        <v>36</v>
      </c>
      <c r="H23" s="18"/>
    </row>
    <row r="24" spans="2:8" x14ac:dyDescent="0.3">
      <c r="B24" s="17"/>
      <c r="C24" s="36">
        <v>45745</v>
      </c>
      <c r="D24" s="22">
        <v>87</v>
      </c>
      <c r="E24" s="1" t="s">
        <v>31</v>
      </c>
      <c r="F24" s="1" t="s">
        <v>32</v>
      </c>
      <c r="G24" s="2" t="s">
        <v>33</v>
      </c>
      <c r="H24" s="18"/>
    </row>
    <row r="25" spans="2:8" x14ac:dyDescent="0.3">
      <c r="B25" s="17"/>
      <c r="C25" s="36">
        <v>46183</v>
      </c>
      <c r="D25" s="22">
        <v>-132</v>
      </c>
      <c r="E25" s="1" t="s">
        <v>37</v>
      </c>
      <c r="F25" s="1" t="s">
        <v>38</v>
      </c>
      <c r="G25" s="2" t="s">
        <v>39</v>
      </c>
      <c r="H25" s="18"/>
    </row>
    <row r="26" spans="2:8" x14ac:dyDescent="0.3">
      <c r="B26" s="17"/>
      <c r="C26" s="37">
        <v>45900</v>
      </c>
      <c r="D26" s="28">
        <v>164</v>
      </c>
      <c r="E26" s="29" t="s">
        <v>34</v>
      </c>
      <c r="F26" s="29" t="s">
        <v>35</v>
      </c>
      <c r="G26" s="30" t="s">
        <v>36</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-154</v>
      </c>
      <c r="E28" s="33"/>
      <c r="F28" s="34"/>
      <c r="G28" s="35"/>
      <c r="H28" s="18"/>
    </row>
    <row r="29" spans="2:8" x14ac:dyDescent="0.3">
      <c r="B29" s="17"/>
      <c r="H29" s="18"/>
    </row>
    <row r="30" spans="2:8" x14ac:dyDescent="0.3">
      <c r="B30" s="17"/>
      <c r="C30" s="24" t="s">
        <v>40</v>
      </c>
      <c r="D30" s="23" t="s">
        <v>41</v>
      </c>
      <c r="F30" s="24" t="s">
        <v>42</v>
      </c>
      <c r="G30" t="s">
        <v>43</v>
      </c>
      <c r="H30" s="18"/>
    </row>
    <row r="31" spans="2:8" x14ac:dyDescent="0.3">
      <c r="B31" s="17"/>
      <c r="C31" s="24" t="s">
        <v>44</v>
      </c>
      <c r="D31" s="38">
        <v>46205</v>
      </c>
      <c r="F31" s="24" t="s">
        <v>45</v>
      </c>
      <c r="G31" s="38">
        <v>46205</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2026-07-07T05:31:48Z</dcterms:modified>
</cp:coreProperties>
</file>