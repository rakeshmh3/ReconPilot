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A5F15D94-1596-440B-8B88-3DE23829ED83}"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<sst xmlns="http://schemas.openxmlformats.org/spreadsheetml/2006/main" count="53" uniqueCount="49">
  <si>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</si>
  <si>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</si>
  <si>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</si>
  <si>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</si>
  <si>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</si>
  <si>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</si>
  <si>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Deferred Revenue</t>
  </si>
  <si>
    <t>Difference</t>
  </si>
  <si>
    <t>Ageing Summary</t>
  </si>
  <si>
    <t>AI Summary</t>
  </si>
  <si>
    <t>Bucket</t>
  </si>
  <si>
    <t>Amount</t>
  </si>
  <si>
    <t>Reconciliation lists 7 open items. Critical risks are a large unposted journal entry of -$884 from May 2026 and an aged intercompany difference of -$140 from January 2025. Action is required to obtain approval and post the pending journal entry and settle the intercompany dispute. We recommend daily monitoring of unposted journals over material thresholds.</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</si>
  <si>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</si>
  <si>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</si>
  <si>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</si>
  <si>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</si>
  <si>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</si>
  <si>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</si>
  <si>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</si>
  <si>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</si>
  <si>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</si>
  <si>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</si>
  <si>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</si>
  <si>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</si>
  <si>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Outstanding Customer Receipt</t>
  </si>
  <si>
    <t>Receipt not yet applied.</t>
  </si>
  <si>
    <t>Apply receipt to open invoice.</t>
  </si>
  <si>
    <t>Intercompany Difference</t>
  </si>
  <si>
    <t>Counterparty not aligned.</t>
  </si>
  <si>
    <t>Coordinate intercompany settlement.</t>
  </si>
  <si>
    <t>Manual Adjustment Pending Approval</t>
  </si>
  <si>
    <t>Awaiting finance approval.</t>
  </si>
  <si>
    <t>Approve and post adjustment.</t>
  </si>
  <si>
    <t>Foreign Exchange Revaluation</t>
  </si>
  <si>
    <t>Month-end FX revaluation pending.</t>
  </si>
  <si>
    <t>Run FX revaluation.</t>
  </si>
  <si>
    <t>Bank Charges</t>
  </si>
  <si>
    <t>Bank fees not booked.</t>
  </si>
  <si>
    <t>Record bank charges.</t>
  </si>
  <si>
    <t>Unposted Journal Entry</t>
  </si>
  <si>
    <t>Journal pending approval.</t>
  </si>
  <si>
    <t>Post approved journal.</t>
  </si>
  <si>
    <t>Performed By:</t>
  </si>
  <si>
    <t>Sumit</t>
  </si>
  <si>
    <t>Reviewed By:</t>
  </si>
  <si>
    <t>Monali</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</si>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</sst>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4">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43" fontId="0" fillId="0" borderId="25" xfId="0" applyNumberFormat="1" applyBorder="1"/>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4" t="s">
        <v>0</v>
      </c>
      <c r="D3" s="42"/>
      <c r="E3" s="42"/>
      <c r="F3" s="42"/>
      <c r="G3" s="42"/>
      <c r="H3" s="18"/>
    </row>
    <row r="4" spans="2:8" ht="15" customHeight="1" thickBot="1" x14ac:dyDescent="0.35">
      <c r="B4" s="17"/>
      <c r="H4" s="18"/>
    </row>
    <row r="5" spans="2:8" x14ac:dyDescent="0.3">
      <c r="B5" s="17"/>
      <c r="C5" s="6" t="s">
        <v>1</v>
      </c>
      <c r="D5" s="45">
        <v>46203</v>
      </c>
      <c r="E5" s="46"/>
      <c r="F5" s="9" t="s">
        <v>2</v>
      </c>
      <c r="G5" s="3">
        <v>217</v>
      </c>
      <c r="H5" s="39"/>
    </row>
    <row r="6" spans="2:8" x14ac:dyDescent="0.3">
      <c r="B6" s="17"/>
      <c r="C6" s="7" t="s">
        <v>3</v>
      </c>
      <c r="D6" s="40">
        <v>41911</v>
      </c>
      <c r="E6" s="41"/>
      <c r="F6" s="10" t="s">
        <v>4</v>
      </c>
      <c r="G6" s="4">
        <v>986</v>
      </c>
      <c r="H6" s="39"/>
    </row>
    <row r="7" spans="2:8" ht="15" customHeight="1" thickBot="1" x14ac:dyDescent="0.35">
      <c r="B7" s="17"/>
      <c r="C7" s="8" t="s">
        <v>5</v>
      </c>
      <c r="D7" s="43" t="s">
        <v>6</v>
      </c>
      <c r="E7" s="44"/>
      <c r="F7" s="25" t="s">
        <v>7</v>
      </c>
      <c r="G7" s="26">
        <f>G5-G6</f>
        <v>-769</v>
      </c>
      <c r="H7" s="18"/>
    </row>
    <row r="8" spans="2:8" ht="15" customHeight="1" thickBot="1" x14ac:dyDescent="0.35">
      <c r="B8" s="17"/>
      <c r="H8" s="18"/>
    </row>
    <row r="9" spans="2:8" x14ac:dyDescent="0.3">
      <c r="B9" s="17"/>
      <c r="C9" s="50" t="s">
        <v>8</v>
      </c>
      <c r="D9" s="49"/>
      <c r="E9" s="47" t="s">
        <v>9</v>
      </c>
      <c r="F9" s="48"/>
      <c r="G9" s="49"/>
      <c r="H9" s="18"/>
    </row>
    <row r="10" spans="2:8" ht="15" customHeight="1" thickBot="1" x14ac:dyDescent="0.35">
      <c r="B10" s="17"/>
      <c r="C10" s="11" t="s">
        <v>10</v>
      </c>
      <c r="D10" s="12" t="s">
        <v>11</v>
      </c>
      <c r="E10" s="55" t="s">
        <v>12</v>
      </c>
      <c r="F10" s="56"/>
      <c r="G10" s="57"/>
      <c r="H10" s="18"/>
    </row>
    <row r="11" spans="2:8" x14ac:dyDescent="0.3">
      <c r="B11" s="17"/>
      <c r="C11" s="7" t="s">
        <v>13</v>
      </c>
      <c r="D11" s="4">
        <f t="array" ref="D11">SUMPRODUCT(($C$20:$C$27&lt;&gt;"")*(D5-$C$20:$C$27&lt;=30)*($D$20:$D$27))</f>
        <v>0</v>
      </c>
      <c r="E11" s="58"/>
      <c r="F11" s="59"/>
      <c r="G11" s="60"/>
      <c r="H11" s="18"/>
    </row>
    <row r="12" spans="2:8" x14ac:dyDescent="0.3">
      <c r="B12" s="17"/>
      <c r="C12" s="7" t="s">
        <v>14</v>
      </c>
      <c r="D12" s="4">
        <f t="array" aca="1" ref="D12" ca="1">SUMPRODUCT(($C$20:$C$27&lt;&gt;"")*(D5-$C$20:$C$27&gt;30)*(TODAY()-$C$20:$C$27&lt;=60)*($D$20:$D$27))</f>
        <v>-884</v>
      </c>
      <c r="E12" s="58"/>
      <c r="F12" s="59"/>
      <c r="G12" s="60"/>
      <c r="H12" s="18"/>
    </row>
    <row r="13" spans="2:8" x14ac:dyDescent="0.3">
      <c r="B13" s="17"/>
      <c r="C13" s="7" t="s">
        <v>15</v>
      </c>
      <c r="D13" s="4">
        <f t="array" aca="1" ref="D13" ca="1">SUMPRODUCT(($C$20:$C$27&lt;&gt;"")*(D5-$C$20:$C$27&gt;60)*(TODAY()-$C$20:$C$27&lt;=90)*($D$20:$D$27))</f>
        <v>0</v>
      </c>
      <c r="E13" s="58"/>
      <c r="F13" s="59"/>
      <c r="G13" s="60"/>
      <c r="H13" s="18"/>
    </row>
    <row r="14" spans="2:8" x14ac:dyDescent="0.3">
      <c r="B14" s="17"/>
      <c r="C14" s="7" t="s">
        <v>16</v>
      </c>
      <c r="D14" s="4">
        <f t="array" aca="1" ref="D14" ca="1">SUMPRODUCT(($C$20:$C$27&lt;&gt;"")*(D5-$C$20:$C$27&gt;90)*(TODAY()-$C$20:$C$27&lt;=180)*($D$20:$D$27))</f>
        <v>0</v>
      </c>
      <c r="E14" s="58"/>
      <c r="F14" s="59"/>
      <c r="G14" s="60"/>
      <c r="H14" s="18"/>
    </row>
    <row r="15" spans="2:8" ht="15" customHeight="1" thickBot="1" x14ac:dyDescent="0.35">
      <c r="B15" s="17"/>
      <c r="C15" s="8" t="s">
        <v>17</v>
      </c>
      <c r="D15" s="5">
        <f t="array" ref="D15">SUMPRODUCT(($C$20:$C$27&lt;&gt;"")*(D5-$C$20:$C$27&gt;180)*($D$20:$D$27))</f>
        <v>115</v>
      </c>
      <c r="E15" s="58"/>
      <c r="F15" s="59"/>
      <c r="G15" s="60"/>
      <c r="H15" s="18"/>
    </row>
    <row r="16" spans="2:8" ht="15" customHeight="1" thickBot="1" x14ac:dyDescent="0.35">
      <c r="B16" s="17"/>
      <c r="C16" s="27" t="s">
        <v>18</v>
      </c>
      <c r="D16" s="26">
        <f ca="1">SUM(D11:D15)</f>
        <v>-769</v>
      </c>
      <c r="E16" s="61"/>
      <c r="F16" s="62"/>
      <c r="G16" s="63"/>
      <c r="H16" s="18"/>
    </row>
    <row r="17" spans="2:8" ht="15" customHeight="1" thickBot="1" x14ac:dyDescent="0.35">
      <c r="B17" s="17"/>
      <c r="H17" s="18"/>
    </row>
    <row r="18" spans="2:8" x14ac:dyDescent="0.3">
      <c r="B18" s="17"/>
      <c r="C18" s="51" t="s">
        <v>19</v>
      </c>
      <c r="D18" s="52"/>
      <c r="E18" s="52"/>
      <c r="F18" s="52"/>
      <c r="G18" s="53"/>
      <c r="H18" s="18"/>
    </row>
    <row r="19" spans="2:8" x14ac:dyDescent="0.3">
      <c r="B19" s="17"/>
      <c r="C19" s="11" t="s">
        <v>20</v>
      </c>
      <c r="D19" s="13" t="s">
        <v>21</v>
      </c>
      <c r="E19" s="13" t="s">
        <v>22</v>
      </c>
      <c r="F19" s="13" t="s">
        <v>23</v>
      </c>
      <c r="G19" s="12" t="s">
        <v>24</v>
      </c>
      <c r="H19" s="18"/>
    </row>
    <row r="20" spans="2:8" x14ac:dyDescent="0.3">
      <c r="B20" s="17"/>
      <c r="C20" s="36">
        <v>45758</v>
      </c>
      <c r="D20" s="22">
        <v>59</v>
      </c>
      <c r="E20" s="1" t="s">
        <v>25</v>
      </c>
      <c r="F20" s="1" t="s">
        <v>26</v>
      </c>
      <c r="G20" s="2" t="s">
        <v>27</v>
      </c>
      <c r="H20" s="18"/>
    </row>
    <row r="21" spans="2:8" x14ac:dyDescent="0.3">
      <c r="B21" s="17"/>
      <c r="C21" s="36">
        <v>45688</v>
      </c>
      <c r="D21" s="22">
        <v>-140</v>
      </c>
      <c r="E21" s="1" t="s">
        <v>28</v>
      </c>
      <c r="F21" s="1" t="s">
        <v>29</v>
      </c>
      <c r="G21" s="2" t="s">
        <v>30</v>
      </c>
      <c r="H21" s="18"/>
    </row>
    <row r="22" spans="2:8" x14ac:dyDescent="0.3">
      <c r="B22" s="17"/>
      <c r="C22" s="36">
        <v>45733</v>
      </c>
      <c r="D22" s="22">
        <v>-66</v>
      </c>
      <c r="E22" s="1" t="s">
        <v>31</v>
      </c>
      <c r="F22" s="1" t="s">
        <v>32</v>
      </c>
      <c r="G22" s="2" t="s">
        <v>33</v>
      </c>
      <c r="H22" s="18"/>
    </row>
    <row r="23" spans="2:8" x14ac:dyDescent="0.3">
      <c r="B23" s="17"/>
      <c r="C23" s="36">
        <v>45879</v>
      </c>
      <c r="D23" s="22">
        <v>59</v>
      </c>
      <c r="E23" s="1" t="s">
        <v>34</v>
      </c>
      <c r="F23" s="1" t="s">
        <v>35</v>
      </c>
      <c r="G23" s="2" t="s">
        <v>36</v>
      </c>
      <c r="H23" s="18"/>
    </row>
    <row r="24" spans="2:8" x14ac:dyDescent="0.3">
      <c r="B24" s="17"/>
      <c r="C24" s="36">
        <v>45823</v>
      </c>
      <c r="D24" s="22">
        <v>114</v>
      </c>
      <c r="E24" s="1" t="s">
        <v>37</v>
      </c>
      <c r="F24" s="1" t="s">
        <v>38</v>
      </c>
      <c r="G24" s="2" t="s">
        <v>39</v>
      </c>
      <c r="H24" s="18"/>
    </row>
    <row r="25" spans="2:8" x14ac:dyDescent="0.3">
      <c r="B25" s="17"/>
      <c r="C25" s="36">
        <v>45953</v>
      </c>
      <c r="D25" s="22">
        <v>89</v>
      </c>
      <c r="E25" s="1" t="s">
        <v>25</v>
      </c>
      <c r="F25" s="1" t="s">
        <v>26</v>
      </c>
      <c r="G25" s="2" t="s">
        <v>27</v>
      </c>
      <c r="H25" s="18"/>
    </row>
    <row r="26" spans="2:8" x14ac:dyDescent="0.3">
      <c r="B26" s="17"/>
      <c r="C26" s="37">
        <v>46163</v>
      </c>
      <c r="D26" s="28">
        <v>-884</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-769</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46204</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2026-07-07T05:30:44Z</dcterms:modified>
</cp:coreProperties>
</file>