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6274CE0F-2A30-4521-A29F-8938F749010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<sst xmlns="http://schemas.openxmlformats.org/spreadsheetml/2006/main" count="53" uniqueCount="52">
  <si>
    <t>Company Name</t>
  </si>
  <si>
    <t>Recon Date</t>
  </si>
  <si>
    <t>SAP Balance</t>
  </si>
  <si>
    <t>Account Number</t>
  </si>
  <si>
    <t>Subledger Balance</t>
  </si>
  <si>
    <t>Account Name</t>
  </si>
  <si>
    <t>Accrued Expenses</t>
  </si>
  <si>
    <t>Difference</t>
  </si>
  <si>
    <t>Ageing Summary</t>
  </si>
  <si>
    <t>AI Summary</t>
  </si>
  <si>
    <t>Bucket</t>
  </si>
  <si>
    <t>Amount</t>
  </si>
  <si>
    <t>There are 7 open items in this account. Major risks include highly aged items from early 2025, such as an intercompany difference ($88), unrecorded bank charges ($94), and a pending GRNI entry (-$117). We recommend immediate escalation of the intercompany discrepancy and posting of the bank charges. Implementing a monthly aging review will help identify and resolve bottlenecks earlier.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</si>
  <si>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</si>
  <si>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</si>
  <si>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</si>
  <si>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</si>
  <si>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</si>
  <si>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</si>
  <si>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</si>
  <si>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</si>
  <si>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</si>
  <si>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</si>
  <si>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</si>
  <si>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</si>
  <si>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Outstanding Customer Receipt</t>
  </si>
  <si>
    <t>Receipt not yet applied.</t>
  </si>
  <si>
    <t>Apply receipt to open invoice.</t>
  </si>
  <si>
    <t>Accrual Pending Reversal</t>
  </si>
  <si>
    <t>Scheduled reversal outstanding.</t>
  </si>
  <si>
    <t>Reverse accrual.</t>
  </si>
  <si>
    <t>Foreign Exchange Revaluation</t>
  </si>
  <si>
    <t>Month-end FX revaluation pending.</t>
  </si>
  <si>
    <t>Run FX revaluation.</t>
  </si>
  <si>
    <t>Intercompany Difference</t>
  </si>
  <si>
    <t>Counterparty not aligned.</t>
  </si>
  <si>
    <t>Coordinate intercompany settlement.</t>
  </si>
  <si>
    <t>Bank Charges</t>
  </si>
  <si>
    <t>Bank fees not booked.</t>
  </si>
  <si>
    <t>Record bank charges.</t>
  </si>
  <si>
    <t>Manual Adjustment Pending Approval</t>
  </si>
  <si>
    <t>Awaiting finance approval.</t>
  </si>
  <si>
    <t>Approve and post adjustment.</t>
  </si>
  <si>
    <t>Goods Receipt Not Invoiced</t>
  </si>
  <si>
    <t>GRNI awaiting vendor invoice.</t>
  </si>
  <si>
    <t>Match invoice and clear GRNI.</t>
  </si>
  <si>
    <t>Performed By:</t>
  </si>
  <si>
    <t>Manish</t>
  </si>
  <si>
    <t>Reviewed By:</t>
  </si>
  <si>
    <t>Rakesh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</si>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</sst>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3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3" t="s">
        <v>0</v>
      </c>
      <c r="D3" s="41"/>
      <c r="E3" s="41"/>
      <c r="F3" s="41"/>
      <c r="G3" s="41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4">
        <v>46203</v>
      </c>
      <c r="E5" s="45"/>
      <c r="F5" s="9" t="s">
        <v>2</v>
      </c>
      <c r="G5" s="3">
        <v>685</v>
      </c>
      <c r="H5" s="18"/>
    </row>
    <row r="6" spans="2:8" x14ac:dyDescent="0.3">
      <c r="B6" s="17"/>
      <c r="C6" s="7" t="s">
        <v>3</v>
      </c>
      <c r="D6" s="39">
        <v>27301</v>
      </c>
      <c r="E6" s="40"/>
      <c r="F6" s="10" t="s">
        <v>4</v>
      </c>
      <c r="G6" s="4">
        <v>755</v>
      </c>
      <c r="H6" s="18"/>
    </row>
    <row r="7" spans="2:8" ht="15" customHeight="1" thickBot="1" x14ac:dyDescent="0.35">
      <c r="B7" s="17"/>
      <c r="C7" s="8" t="s">
        <v>5</v>
      </c>
      <c r="D7" s="42" t="s">
        <v>6</v>
      </c>
      <c r="E7" s="43"/>
      <c r="F7" s="25" t="s">
        <v>7</v>
      </c>
      <c r="G7" s="26">
        <f>G5-G6</f>
        <v>-70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49" t="s">
        <v>8</v>
      </c>
      <c r="D9" s="48"/>
      <c r="E9" s="46" t="s">
        <v>9</v>
      </c>
      <c r="F9" s="47"/>
      <c r="G9" s="48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4" t="s">
        <v>12</v>
      </c>
      <c r="F10" s="55"/>
      <c r="G10" s="56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7"/>
      <c r="F11" s="58"/>
      <c r="G11" s="59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-111</v>
      </c>
      <c r="E12" s="57"/>
      <c r="F12" s="58"/>
      <c r="G12" s="59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0</v>
      </c>
      <c r="E13" s="57"/>
      <c r="F13" s="58"/>
      <c r="G13" s="59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-54</v>
      </c>
      <c r="E14" s="57"/>
      <c r="F14" s="58"/>
      <c r="G14" s="59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95</v>
      </c>
      <c r="E15" s="57"/>
      <c r="F15" s="58"/>
      <c r="G15" s="59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-70</v>
      </c>
      <c r="E16" s="60"/>
      <c r="F16" s="61"/>
      <c r="G16" s="62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0" t="s">
        <v>19</v>
      </c>
      <c r="D18" s="51"/>
      <c r="E18" s="51"/>
      <c r="F18" s="51"/>
      <c r="G18" s="52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45705</v>
      </c>
      <c r="D20" s="22">
        <v>30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46157</v>
      </c>
      <c r="D21" s="22">
        <v>-111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46098</v>
      </c>
      <c r="D22" s="22">
        <v>8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45800</v>
      </c>
      <c r="D23" s="22">
        <v>88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45870</v>
      </c>
      <c r="D24" s="22">
        <v>94</v>
      </c>
      <c r="E24" s="1" t="s">
        <v>37</v>
      </c>
      <c r="F24" s="1" t="s">
        <v>38</v>
      </c>
      <c r="G24" s="2" t="s">
        <v>39</v>
      </c>
      <c r="H24" s="18"/>
    </row>
    <row r="25" spans="2:8" x14ac:dyDescent="0.3">
      <c r="B25" s="17"/>
      <c r="C25" s="36">
        <v>46044</v>
      </c>
      <c r="D25" s="22">
        <v>-62</v>
      </c>
      <c r="E25" s="1" t="s">
        <v>40</v>
      </c>
      <c r="F25" s="1" t="s">
        <v>41</v>
      </c>
      <c r="G25" s="2" t="s">
        <v>42</v>
      </c>
      <c r="H25" s="18"/>
    </row>
    <row r="26" spans="2:8" x14ac:dyDescent="0.3">
      <c r="B26" s="17"/>
      <c r="C26" s="37">
        <v>45721</v>
      </c>
      <c r="D26" s="28">
        <v>-117</v>
      </c>
      <c r="E26" s="29" t="s">
        <v>43</v>
      </c>
      <c r="F26" s="29" t="s">
        <v>44</v>
      </c>
      <c r="G26" s="30" t="s">
        <v>45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-70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46</v>
      </c>
      <c r="D30" s="23" t="s">
        <v>47</v>
      </c>
      <c r="F30" s="24" t="s">
        <v>48</v>
      </c>
      <c r="G30" t="s">
        <v>49</v>
      </c>
      <c r="H30" s="18"/>
    </row>
    <row r="31" spans="2:8" x14ac:dyDescent="0.3">
      <c r="B31" s="17"/>
      <c r="C31" s="24" t="s">
        <v>50</v>
      </c>
      <c r="D31" s="38">
        <v>46206</v>
      </c>
      <c r="F31" s="24" t="s">
        <v>51</v>
      </c>
      <c r="G31" s="38">
        <v>46206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2026-07-07T05:31:39Z</dcterms:modified>
</cp:coreProperties>
</file>