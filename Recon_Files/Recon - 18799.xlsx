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BAEE5012-8AD4-4803-BA4C-6451F008EC27}"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<sst xmlns="http://schemas.openxmlformats.org/spreadsheetml/2006/main" count="53" uniqueCount="49">
  <si>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</si>
  <si>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</si>
  <si>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</si>
  <si>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</si>
  <si>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</si>
  <si>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</si>
  <si>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Accrued Expenses</t>
  </si>
  <si>
    <t>Difference</t>
  </si>
  <si>
    <t>Ageing Summary</t>
  </si>
  <si>
    <t>AI Summary</t>
  </si>
  <si>
    <t>Bucket</t>
  </si>
  <si>
    <t>Amount</t>
  </si>
  <si>
    <t>There are 7 open items in the reconciliation. Key risks involve unrecorded FX revaluations and an unresolved intercompany difference (-$132) from late 2025, which could impact financial reporting accuracy. Recommendations include coordinating with the intercompany counterparty for matching, applying the outstanding customer receipt, and running the pending FX revaluations. Control reviews should be enhanced.</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</si>
  <si>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</si>
  <si>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</si>
  <si>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</si>
  <si>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</si>
  <si>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</si>
  <si>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</si>
  <si>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</si>
  <si>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</si>
  <si>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</si>
  <si>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</si>
  <si>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</si>
  <si>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</si>
  <si>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Manual Adjustment Pending Approval</t>
  </si>
  <si>
    <t>Awaiting finance approval.</t>
  </si>
  <si>
    <t>Approve and post adjustment.</t>
  </si>
  <si>
    <t>Unposted Journal Entry</t>
  </si>
  <si>
    <t>Journal pending approval.</t>
  </si>
  <si>
    <t>Post approved journal.</t>
  </si>
  <si>
    <t>Goods Receipt Not Invoiced</t>
  </si>
  <si>
    <t>GRNI awaiting vendor invoice.</t>
  </si>
  <si>
    <t>Match invoice and clear GRNI.</t>
  </si>
  <si>
    <t>Foreign Exchange Revaluation</t>
  </si>
  <si>
    <t>Month-end FX revaluation pending.</t>
  </si>
  <si>
    <t>Run FX revaluation.</t>
  </si>
  <si>
    <t>Intercompany Difference</t>
  </si>
  <si>
    <t>Counterparty not aligned.</t>
  </si>
  <si>
    <t>Coordinate intercompany settlement.</t>
  </si>
  <si>
    <t>Outstanding Customer Receipt</t>
  </si>
  <si>
    <t>Receipt not yet applied.</t>
  </si>
  <si>
    <t>Apply receipt to open invoice.</t>
  </si>
  <si>
    <t>Performed By:</t>
  </si>
  <si>
    <t>Manish</t>
  </si>
  <si>
    <t>Reviewed By:</t>
  </si>
  <si>
    <t>Jenifer</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</si>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</sst>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833</v>
      </c>
      <c r="H5" s="18"/>
    </row>
    <row r="6" spans="2:8" x14ac:dyDescent="0.3">
      <c r="B6" s="17"/>
      <c r="C6" s="7" t="s">
        <v>3</v>
      </c>
      <c r="D6" s="39">
        <v>18799</v>
      </c>
      <c r="E6" s="40"/>
      <c r="F6" s="10" t="s">
        <v>4</v>
      </c>
      <c r="G6" s="4">
        <v>896</v>
      </c>
      <c r="H6" s="18"/>
    </row>
    <row r="7" spans="2:8" ht="15" customHeight="1" thickBot="1" x14ac:dyDescent="0.35">
      <c r="B7" s="17"/>
      <c r="C7" s="8" t="s">
        <v>5</v>
      </c>
      <c r="D7" s="42" t="s">
        <v>6</v>
      </c>
      <c r="E7" s="43"/>
      <c r="F7" s="25" t="s">
        <v>7</v>
      </c>
      <c r="G7" s="26">
        <f>G5-G6</f>
        <v>-63</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0</v>
      </c>
      <c r="E11" s="57"/>
      <c r="F11" s="58"/>
      <c r="G11" s="59"/>
      <c r="H11" s="18"/>
    </row>
    <row r="12" spans="2:8" x14ac:dyDescent="0.3">
      <c r="B12" s="17"/>
      <c r="C12" s="7" t="s">
        <v>14</v>
      </c>
      <c r="D12" s="4">
        <f t="array" aca="1" ref="D12" ca="1">SUMPRODUCT(($C$20:$C$27&lt;&gt;"")*(D5-$C$20:$C$27&gt;30)*(TODAY()-$C$20:$C$27&lt;=60)*($D$20:$D$27))-140</f>
        <v>-93</v>
      </c>
      <c r="E12" s="57"/>
      <c r="F12" s="58"/>
      <c r="G12" s="59"/>
      <c r="H12" s="18"/>
    </row>
    <row r="13" spans="2:8" x14ac:dyDescent="0.3">
      <c r="B13" s="17"/>
      <c r="C13" s="7" t="s">
        <v>15</v>
      </c>
      <c r="D13" s="4">
        <f t="array" aca="1" ref="D13" ca="1">SUMPRODUCT(($C$20:$C$27&lt;&gt;"")*(D5-$C$20:$C$27&gt;60)*(TODAY()-$C$20:$C$27&lt;=90)*($D$20:$D$27))</f>
        <v>0</v>
      </c>
      <c r="E13" s="57"/>
      <c r="F13" s="58"/>
      <c r="G13" s="59"/>
      <c r="H13" s="18"/>
    </row>
    <row r="14" spans="2:8" x14ac:dyDescent="0.3">
      <c r="B14" s="17"/>
      <c r="C14" s="7" t="s">
        <v>16</v>
      </c>
      <c r="D14" s="4">
        <f t="array" aca="1" ref="D14" ca="1">SUMPRODUCT(($C$20:$C$27&lt;&gt;"")*(D5-$C$20:$C$27&gt;90)*(TODAY()-$C$20:$C$27&lt;=180)*($D$20:$D$27))</f>
        <v>-17</v>
      </c>
      <c r="E14" s="57"/>
      <c r="F14" s="58"/>
      <c r="G14" s="59"/>
      <c r="H14" s="18"/>
    </row>
    <row r="15" spans="2:8" ht="15" customHeight="1" thickBot="1" x14ac:dyDescent="0.35">
      <c r="B15" s="17"/>
      <c r="C15" s="8" t="s">
        <v>17</v>
      </c>
      <c r="D15" s="5">
        <f t="array" ref="D15">SUMPRODUCT(($C$20:$C$27&lt;&gt;"")*(D5-$C$20:$C$27&gt;180)*($D$20:$D$27))</f>
        <v>47</v>
      </c>
      <c r="E15" s="57"/>
      <c r="F15" s="58"/>
      <c r="G15" s="59"/>
      <c r="H15" s="18"/>
    </row>
    <row r="16" spans="2:8" ht="15" customHeight="1" thickBot="1" x14ac:dyDescent="0.35">
      <c r="B16" s="17"/>
      <c r="C16" s="27" t="s">
        <v>18</v>
      </c>
      <c r="D16" s="26">
        <f ca="1">SUM(D11:D15)</f>
        <v>-63</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45972</v>
      </c>
      <c r="D20" s="22">
        <v>-72</v>
      </c>
      <c r="E20" s="1" t="s">
        <v>25</v>
      </c>
      <c r="F20" s="1" t="s">
        <v>26</v>
      </c>
      <c r="G20" s="2" t="s">
        <v>27</v>
      </c>
      <c r="H20" s="18"/>
    </row>
    <row r="21" spans="2:8" x14ac:dyDescent="0.3">
      <c r="B21" s="17"/>
      <c r="C21" s="36">
        <v>46064</v>
      </c>
      <c r="D21" s="22">
        <v>-17</v>
      </c>
      <c r="E21" s="1" t="s">
        <v>28</v>
      </c>
      <c r="F21" s="1" t="s">
        <v>29</v>
      </c>
      <c r="G21" s="2" t="s">
        <v>30</v>
      </c>
      <c r="H21" s="18"/>
    </row>
    <row r="22" spans="2:8" x14ac:dyDescent="0.3">
      <c r="B22" s="17"/>
      <c r="C22" s="36">
        <v>46154</v>
      </c>
      <c r="D22" s="22">
        <v>47</v>
      </c>
      <c r="E22" s="1" t="s">
        <v>31</v>
      </c>
      <c r="F22" s="1" t="s">
        <v>32</v>
      </c>
      <c r="G22" s="2" t="s">
        <v>33</v>
      </c>
      <c r="H22" s="18"/>
    </row>
    <row r="23" spans="2:8" x14ac:dyDescent="0.3">
      <c r="B23" s="17"/>
      <c r="C23" s="36">
        <v>45928</v>
      </c>
      <c r="D23" s="22">
        <v>109</v>
      </c>
      <c r="E23" s="1" t="s">
        <v>34</v>
      </c>
      <c r="F23" s="1" t="s">
        <v>35</v>
      </c>
      <c r="G23" s="2" t="s">
        <v>36</v>
      </c>
      <c r="H23" s="18"/>
    </row>
    <row r="24" spans="2:8" x14ac:dyDescent="0.3">
      <c r="B24" s="17"/>
      <c r="C24" s="36">
        <v>45972</v>
      </c>
      <c r="D24" s="22">
        <v>-132</v>
      </c>
      <c r="E24" s="1" t="s">
        <v>37</v>
      </c>
      <c r="F24" s="1" t="s">
        <v>38</v>
      </c>
      <c r="G24" s="2" t="s">
        <v>39</v>
      </c>
      <c r="H24" s="18"/>
    </row>
    <row r="25" spans="2:8" x14ac:dyDescent="0.3">
      <c r="B25" s="17"/>
      <c r="C25" s="36">
        <v>46020</v>
      </c>
      <c r="D25" s="22">
        <v>142</v>
      </c>
      <c r="E25" s="1" t="s">
        <v>34</v>
      </c>
      <c r="F25" s="1" t="s">
        <v>35</v>
      </c>
      <c r="G25" s="2" t="s">
        <v>36</v>
      </c>
      <c r="H25" s="18"/>
    </row>
    <row r="26" spans="2:8" x14ac:dyDescent="0.3">
      <c r="B26" s="17"/>
      <c r="C26" s="37">
        <v>46149</v>
      </c>
      <c r="D26" s="28">
        <v>-140</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-63</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46206</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2026-07-07T05:32:07Z</dcterms:modified>
</cp:coreProperties>
</file>